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975a9bd2374c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osite" sheetId="1" r:id="R832813ac75d44f11"/>
    <x:sheet xmlns:r="http://schemas.openxmlformats.org/officeDocument/2006/relationships" name="Scores" sheetId="2" r:id="R5325f41ec36c492d"/>
    <x:sheet xmlns:r="http://schemas.openxmlformats.org/officeDocument/2006/relationships" name="Websites" sheetId="3" r:id="Rab430ac193d64d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%"/>
    <x:numFmt numFmtId="202" formatCode="0%"/>
    <x:numFmt numFmtId="203" formatCode="0.0"/>
    <x:numFmt numFmtId="204" formatCode="+0.0;-0.0;0.0"/>
  </x:numFmts>
  <x:fonts count="8">
    <x:font>
      <x:sz val="11"/>
      <x:name val="Carlito"/>
    </x:font>
    <x:font>
      <x:sz val="11"/>
      <x:color rgb="FF182638"/>
      <x:name val="Arial"/>
    </x:font>
    <x:font>
      <x:b/>
      <x:sz val="11"/>
      <x:color rgb="FFFFFFFF"/>
      <x:name val="Arial"/>
    </x:font>
    <x:font>
      <x:b/>
      <x:sz val="16"/>
      <x:color rgb="FF182638"/>
      <x:name val="Arial"/>
    </x:font>
    <x:font>
      <x:sz val="11"/>
      <x:color rgb="FF2458A6"/>
      <x:name val="Arial"/>
    </x:font>
    <x:font>
      <x:i/>
      <x:sz val="11"/>
      <x:color rgb="FF5F6B78"/>
      <x:name val="Arial"/>
    </x:font>
    <x:font>
      <x:b/>
      <x:sz val="13"/>
      <x:color rgb="FF182638"/>
      <x:name val="Arial"/>
    </x:font>
    <x:font>
      <x:sz val="11"/>
      <x:color rgb="FF5F6B7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2638"/>
      </x:patternFill>
    </x:fill>
    <x:fill>
      <x:patternFill patternType="solid">
        <x:fgColor rgb="FFFFF3CF"/>
      </x:patternFill>
    </x:fill>
    <x:fill>
      <x:patternFill patternType="solid">
        <x:fgColor rgb="FFEEF3FA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3" fontId="1" fillId="4" borderId="0" xfId="0" applyNumberFormat="1" applyFont="1" applyFill="1" applyBorder="1" applyAlignment="1">
      <x:alignment horizontal="right" vertical="center"/>
    </x:xf>
    <x:xf numFmtId="204" fontId="1" fillId="4" borderId="0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60aae749194a47" /><Relationship Type="http://schemas.openxmlformats.org/officeDocument/2006/relationships/theme" Target="/xl/theme/theme1.xml" Id="R1468dcce3582435e" /><Relationship Type="http://schemas.microsoft.com/office/2022/11/relationships/FeaturePropertyBag" Target="/xl/featurePropertyBag/featurePropertyBag.xml" Id="Rfcc885f0bdb449fc" /><Relationship Type="http://schemas.openxmlformats.org/officeDocument/2006/relationships/sharedStrings" Target="/xl/sharedStrings.xml" Id="Rfafed284117d491f" /><Relationship Type="http://schemas.openxmlformats.org/officeDocument/2006/relationships/worksheet" Target="/xl/worksheets/sheet1.xml" Id="R832813ac75d44f11" /><Relationship Type="http://schemas.openxmlformats.org/officeDocument/2006/relationships/worksheet" Target="/xl/worksheets/sheet2.xml" Id="R5325f41ec36c492d" /><Relationship Type="http://schemas.openxmlformats.org/officeDocument/2006/relationships/worksheet" Target="/xl/worksheets/sheet3.xml" Id="Rab430ac193d64d7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2638"/>
  </x:sheetPr>
  <x:sheetViews>
    <x:sheetView showGridLines="0" workbookViewId="0"/>
  </x:sheetViews>
  <x:sheetFormatPr defaultRowHeight="15"/>
  <x:cols>
    <x:col min="1" max="1" width="30.6299991607666" hidden="0" customWidth="1"/>
    <x:col min="2" max="2" width="16.8799991607666" hidden="0" customWidth="1"/>
    <x:col min="3" max="3" width="16.8799991607666" hidden="0" customWidth="1"/>
    <x:col min="4" max="4" width="16.25" hidden="0" customWidth="1"/>
    <x:col min="5" max="5" width="12.5" hidden="0" customWidth="1"/>
    <x:col min="6" max="6" width="17.5" hidden="0" customWidth="1"/>
    <x:col min="7" max="7" width="13.7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1" t="str">
        <x:v>Workflow composite scores</x:v>
      </x:c>
      <x:c r="B2" s="11"/>
      <x:c r="C2" s="11"/>
      <x:c r="D2" s="11"/>
      <x:c r="E2" s="11"/>
      <x:c r="F2" s="11"/>
      <x:c r="G2" s="11"/>
    </x:row>
    <x:row r="3" ht="32" customHeight="1">
      <x:c r="A3" s="2" t="str">
        <x:v>Sources checked 2026-09-17 (UTC)</x:v>
      </x:c>
      <x:c r="B3" s="10" t="str">
        <x:v>BigCodeBench weight</x:v>
      </x:c>
      <x:c r="C3" s="10" t="str">
        <x:v>LiveCodeBench weight</x:v>
      </x:c>
      <x:c r="D3" s="2"/>
      <x:c r="E3" s="2"/>
      <x:c r="F3" s="2"/>
      <x:c r="G3" s="2"/>
    </x:row>
    <x:row r="4" ht="25" customHeight="1">
      <x:c r="A4" s="2" t="str">
        <x:v>Benchmark weights</x:v>
      </x:c>
      <x:c r="B4" s="14" t="n">
        <x:v>0.5</x:v>
      </x:c>
      <x:c r="C4" s="12" t="n">
        <x:f>IF(ISNUMBER(B4),1-B4,"n.a.")</x:f>
        <x:v>0.5</x:v>
      </x:c>
      <x:c r="D4" s="2"/>
      <x:c r="E4" s="2"/>
      <x:c r="F4" s="2"/>
      <x:c r="G4" s="2"/>
    </x:row>
    <x:row r="5" ht="25" customHeight="1">
      <x:c r="A5" s="15" t="str">
        <x:v>Change the yellow weight cell from 0% to 100%.</x:v>
      </x:c>
      <x:c r="B5" s="15"/>
      <x:c r="C5" s="15"/>
      <x:c r="D5" s="15"/>
      <x:c r="E5" s="15"/>
      <x:c r="F5" s="15"/>
      <x:c r="G5" s="15"/>
    </x:row>
    <x:row r="6" ht="25" customHeight="1">
      <x:c r="A6" s="2"/>
      <x:c r="B6" s="2"/>
      <x:c r="C6" s="2"/>
      <x:c r="D6" s="2"/>
      <x:c r="E6" s="2"/>
      <x:c r="F6" s="2"/>
      <x:c r="G6" s="2"/>
    </x:row>
    <x:row r="7" ht="25" customHeight="1">
      <x:c r="A7" s="16" t="str">
        <x:v>Visible-feedback protocol</x:v>
      </x:c>
      <x:c r="B7" s="16"/>
      <x:c r="C7" s="16"/>
      <x:c r="D7" s="16"/>
      <x:c r="E7" s="16"/>
      <x:c r="F7" s="16"/>
      <x:c r="G7" s="16"/>
    </x:row>
    <x:row r="8" ht="36" customHeight="1">
      <x:c r="A8" s="7" t="str">
        <x:v>Workflow</x:v>
      </x:c>
      <x:c r="B8" s="7" t="str">
        <x:v>BigCodeBench yield</x:v>
      </x:c>
      <x:c r="C8" s="7" t="str">
        <x:v>LiveCodeBench yield</x:v>
      </x:c>
      <x:c r="D8" s="7" t="str">
        <x:v>Composite /100</x:v>
      </x:c>
      <x:c r="E8" s="7" t="str">
        <x:v>Coverage</x:v>
      </x:c>
      <x:c r="F8" s="7" t="str">
        <x:v>Upper bound /100</x:v>
      </x:c>
      <x:c r="G8" s="7" t="str">
        <x:v>Change vs B</x:v>
      </x:c>
    </x:row>
    <x:row r="9" ht="25" customHeight="1">
      <x:c r="A9" s="2" t="str">
        <x:v>A Sonnet original</x:v>
      </x:c>
      <x:c r="B9" s="19" t="n">
        <x:f>'Scores'!G2</x:f>
        <x:v>0.5</x:v>
      </x:c>
      <x:c r="C9" s="19" t="n">
        <x:f>'Scores'!G8</x:f>
        <x:v>0.25</x:v>
      </x:c>
      <x:c r="D9" s="20" t="n">
        <x:f>IF(AND(COUNT(B9:C9)=2,ISNUMBER($B$4),$B$4&gt;=0,$B$4&lt;=1),100*SUMPRODUCT(B9:C9,$B$4:$C$4),"n.a.")</x:f>
        <x:v>37.5</x:v>
      </x:c>
      <x:c r="E9" s="19" t="n">
        <x:f>IF(AND(COUNT(B9:C9)=2,ISNUMBER($B$4),$B$4&gt;=0,$B$4&lt;=1),'Scores'!H2*$B$4+'Scores'!H8*$C$4,"n.a.")</x:f>
        <x:v>0.8125</x:v>
      </x:c>
      <x:c r="F9" s="20" t="n">
        <x:f>IF(AND(COUNT(B9:C9)=2,ISNUMBER($B$4),$B$4&gt;=0,$B$4&lt;=1),100*('Scores'!I2*$B$4+'Scores'!I8*$C$4),"n.a.")</x:f>
        <x:v>56.25</x:v>
      </x:c>
      <x:c r="G9" s="21" t="n">
        <x:f>IF(COUNT(D9,$D$10)=2,D9-$D$10,"n.a.")</x:f>
        <x:v>-10.416666666666671</x:v>
      </x:c>
    </x:row>
    <x:row r="10" ht="25" customHeight="1">
      <x:c r="A10" s="22" t="str">
        <x:v>B Sonnet direct revision</x:v>
      </x:c>
      <x:c r="B10" s="23" t="n">
        <x:f>'Scores'!G3</x:f>
        <x:v>0.5833333333333334</x:v>
      </x:c>
      <x:c r="C10" s="23" t="n">
        <x:f>'Scores'!G9</x:f>
        <x:v>0.375</x:v>
      </x:c>
      <x:c r="D10" s="24" t="n">
        <x:f>IF(AND(COUNT(B10:C10)=2,ISNUMBER($B$4),$B$4&gt;=0,$B$4&lt;=1),100*SUMPRODUCT(B10:C10,$B$4:$C$4),"n.a.")</x:f>
        <x:v>47.91666666666667</x:v>
      </x:c>
      <x:c r="E10" s="23" t="n">
        <x:f>IF(AND(COUNT(B10:C10)=2,ISNUMBER($B$4),$B$4&gt;=0,$B$4&lt;=1),'Scores'!H3*$B$4+'Scores'!H9*$C$4,"n.a.")</x:f>
        <x:v>0.75</x:v>
      </x:c>
      <x:c r="F10" s="24" t="n">
        <x:f>IF(AND(COUNT(B10:C10)=2,ISNUMBER($B$4),$B$4&gt;=0,$B$4&lt;=1),100*('Scores'!I3*$B$4+'Scores'!I9*$C$4),"n.a.")</x:f>
        <x:v>72.91666666666667</x:v>
      </x:c>
      <x:c r="G10" s="25" t="n">
        <x:f>IF(COUNT(D10,$D$10)=2,D10-$D$10,"n.a.")</x:f>
        <x:v>0</x:v>
      </x:c>
    </x:row>
    <x:row r="11" ht="25" customHeight="1">
      <x:c r="A11" s="2" t="str">
        <x:v>C Sonnet self-review</x:v>
      </x:c>
      <x:c r="B11" s="19" t="n">
        <x:f>'Scores'!G4</x:f>
        <x:v>0.5</x:v>
      </x:c>
      <x:c r="C11" s="19" t="n">
        <x:f>'Scores'!G10</x:f>
        <x:v>0.375</x:v>
      </x:c>
      <x:c r="D11" s="20" t="n">
        <x:f>IF(AND(COUNT(B11:C11)=2,ISNUMBER($B$4),$B$4&gt;=0,$B$4&lt;=1),100*SUMPRODUCT(B11:C11,$B$4:$C$4),"n.a.")</x:f>
        <x:v>43.75</x:v>
      </x:c>
      <x:c r="E11" s="19" t="n">
        <x:f>IF(AND(COUNT(B11:C11)=2,ISNUMBER($B$4),$B$4&gt;=0,$B$4&lt;=1),'Scores'!H4*$B$4+'Scores'!H10*$C$4,"n.a.")</x:f>
        <x:v>0.8125</x:v>
      </x:c>
      <x:c r="F11" s="20" t="n">
        <x:f>IF(AND(COUNT(B11:C11)=2,ISNUMBER($B$4),$B$4&gt;=0,$B$4&lt;=1),100*('Scores'!I4*$B$4+'Scores'!I10*$C$4),"n.a.")</x:f>
        <x:v>62.5</x:v>
      </x:c>
      <x:c r="G11" s="21" t="n">
        <x:f>IF(COUNT(D11,$D$10)=2,D11-$D$10,"n.a.")</x:f>
        <x:v>-4.166666666666671</x:v>
      </x:c>
    </x:row>
    <x:row r="12" ht="25" customHeight="1">
      <x:c r="A12" s="22" t="str">
        <x:v>D Cross-model review</x:v>
      </x:c>
      <x:c r="B12" s="23" t="n">
        <x:f>'Scores'!G5</x:f>
        <x:v>0.5</x:v>
      </x:c>
      <x:c r="C12" s="23" t="n">
        <x:f>'Scores'!G11</x:f>
        <x:v>0.375</x:v>
      </x:c>
      <x:c r="D12" s="24" t="n">
        <x:f>IF(AND(COUNT(B12:C12)=2,ISNUMBER($B$4),$B$4&gt;=0,$B$4&lt;=1),100*SUMPRODUCT(B12:C12,$B$4:$C$4),"n.a.")</x:f>
        <x:v>43.75</x:v>
      </x:c>
      <x:c r="E12" s="23" t="n">
        <x:f>IF(AND(COUNT(B12:C12)=2,ISNUMBER($B$4),$B$4&gt;=0,$B$4&lt;=1),'Scores'!H5*$B$4+'Scores'!H11*$C$4,"n.a.")</x:f>
        <x:v>0.8125</x:v>
      </x:c>
      <x:c r="F12" s="24" t="n">
        <x:f>IF(AND(COUNT(B12:C12)=2,ISNUMBER($B$4),$B$4&gt;=0,$B$4&lt;=1),100*('Scores'!I5*$B$4+'Scores'!I11*$C$4),"n.a.")</x:f>
        <x:v>62.5</x:v>
      </x:c>
      <x:c r="G12" s="25" t="n">
        <x:f>IF(COUNT(D12,$D$10)=2,D12-$D$10,"n.a.")</x:f>
        <x:v>-4.166666666666671</x:v>
      </x:c>
    </x:row>
    <x:row r="13" ht="25" customHeight="1">
      <x:c r="A13" s="2" t="str">
        <x:v>E Terra original</x:v>
      </x:c>
      <x:c r="B13" s="19" t="n">
        <x:f>'Scores'!G6</x:f>
        <x:v>0.5</x:v>
      </x:c>
      <x:c r="C13" s="19" t="n">
        <x:f>'Scores'!G12</x:f>
        <x:v>0.625</x:v>
      </x:c>
      <x:c r="D13" s="20" t="n">
        <x:f>IF(AND(COUNT(B13:C13)=2,ISNUMBER($B$4),$B$4&gt;=0,$B$4&lt;=1),100*SUMPRODUCT(B13:C13,$B$4:$C$4),"n.a.")</x:f>
        <x:v>56.25</x:v>
      </x:c>
      <x:c r="E13" s="19" t="n">
        <x:f>IF(AND(COUNT(B13:C13)=2,ISNUMBER($B$4),$B$4&gt;=0,$B$4&lt;=1),'Scores'!H6*$B$4+'Scores'!H12*$C$4,"n.a.")</x:f>
        <x:v>1</x:v>
      </x:c>
      <x:c r="F13" s="20" t="n">
        <x:f>IF(AND(COUNT(B13:C13)=2,ISNUMBER($B$4),$B$4&gt;=0,$B$4&lt;=1),100*('Scores'!I6*$B$4+'Scores'!I12*$C$4),"n.a.")</x:f>
        <x:v>56.25</x:v>
      </x:c>
      <x:c r="G13" s="21" t="n">
        <x:f>IF(COUNT(D13,$D$10)=2,D13-$D$10,"n.a.")</x:f>
        <x:v>8.333333333333329</x:v>
      </x:c>
    </x:row>
    <x:row r="14" ht="25" customHeight="1">
      <x:c r="A14" s="2" t="str">
        <x:v>F Terra direct revision</x:v>
      </x:c>
      <x:c r="B14" s="19" t="n">
        <x:f>'Scores'!G7</x:f>
        <x:v>0.5833333333333334</x:v>
      </x:c>
      <x:c r="C14" s="19" t="n">
        <x:f>'Scores'!G13</x:f>
        <x:v>0.625</x:v>
      </x:c>
      <x:c r="D14" s="20" t="n">
        <x:f>IF(AND(COUNT(B14:C14)=2,ISNUMBER($B$4),$B$4&gt;=0,$B$4&lt;=1),100*SUMPRODUCT(B14:C14,$B$4:$C$4),"n.a.")</x:f>
        <x:v>60.41666666666667</x:v>
      </x:c>
      <x:c r="E14" s="19" t="n">
        <x:f>IF(AND(COUNT(B14:C14)=2,ISNUMBER($B$4),$B$4&gt;=0,$B$4&lt;=1),'Scores'!H7*$B$4+'Scores'!H13*$C$4,"n.a.")</x:f>
        <x:v>1</x:v>
      </x:c>
      <x:c r="F14" s="20" t="n">
        <x:f>IF(AND(COUNT(B14:C14)=2,ISNUMBER($B$4),$B$4&gt;=0,$B$4&lt;=1),100*('Scores'!I7*$B$4+'Scores'!I13*$C$4),"n.a.")</x:f>
        <x:v>60.41666666666667</x:v>
      </x:c>
      <x:c r="G14" s="21" t="n">
        <x:f>IF(COUNT(D14,$D$10)=2,D14-$D$10,"n.a.")</x:f>
        <x:v>12.5</x:v>
      </x:c>
    </x:row>
    <x:row r="15" ht="25" customHeight="1">
      <x:c r="A15" s="2"/>
      <x:c r="B15" s="2"/>
      <x:c r="C15" s="2"/>
      <x:c r="D15" s="2"/>
      <x:c r="E15" s="2"/>
      <x:c r="F15" s="2"/>
      <x:c r="G15" s="2"/>
    </x:row>
    <x:row r="16" ht="25" customHeight="1">
      <x:c r="A16" s="2"/>
      <x:c r="B16" s="2"/>
      <x:c r="C16" s="2"/>
      <x:c r="D16" s="2"/>
      <x:c r="E16" s="2"/>
      <x:c r="F16" s="2"/>
      <x:c r="G16" s="2"/>
    </x:row>
    <x:row r="17" ht="25" customHeight="1">
      <x:c r="A17" s="16" t="str">
        <x:v>Earlier tool-free protocol</x:v>
      </x:c>
      <x:c r="B17" s="16"/>
      <x:c r="C17" s="16"/>
      <x:c r="D17" s="16"/>
      <x:c r="E17" s="16"/>
      <x:c r="F17" s="16"/>
      <x:c r="G17" s="16"/>
    </x:row>
    <x:row r="18" ht="36" customHeight="1">
      <x:c r="A18" s="7" t="str">
        <x:v>Workflow</x:v>
      </x:c>
      <x:c r="B18" s="7" t="str">
        <x:v>BigCodeBench yield</x:v>
      </x:c>
      <x:c r="C18" s="7" t="str">
        <x:v>LiveCodeBench yield</x:v>
      </x:c>
      <x:c r="D18" s="7" t="str">
        <x:v>Composite /100</x:v>
      </x:c>
      <x:c r="E18" s="7" t="str">
        <x:v>Coverage</x:v>
      </x:c>
      <x:c r="F18" s="7" t="str">
        <x:v>Upper bound /100</x:v>
      </x:c>
      <x:c r="G18" s="7" t="str">
        <x:v>Change vs B</x:v>
      </x:c>
    </x:row>
    <x:row r="19" ht="25" customHeight="1">
      <x:c r="A19" s="2" t="str">
        <x:v>A Sonnet original</x:v>
      </x:c>
      <x:c r="B19" s="19" t="n">
        <x:f>'Scores'!G14</x:f>
        <x:v>0.7083333333333334</x:v>
      </x:c>
      <x:c r="C19" s="19" t="n">
        <x:f>'Scores'!G19</x:f>
        <x:v>0.5</x:v>
      </x:c>
      <x:c r="D19" s="20" t="n">
        <x:f>IF(AND(COUNT(B19:C19)=2,ISNUMBER($B$4),$B$4&gt;=0,$B$4&lt;=1),100*SUMPRODUCT(B19:C19,$B$4:$C$4),"n.a.")</x:f>
        <x:v>60.41666666666667</x:v>
      </x:c>
      <x:c r="E19" s="19" t="n">
        <x:f>IF(AND(COUNT(B19:C19)=2,ISNUMBER($B$4),$B$4&gt;=0,$B$4&lt;=1),'Scores'!H14*$B$4+'Scores'!H19*$C$4,"n.a.")</x:f>
        <x:v>0.8333333333333333</x:v>
      </x:c>
      <x:c r="F19" s="20" t="n">
        <x:f>IF(AND(COUNT(B19:C19)=2,ISNUMBER($B$4),$B$4&gt;=0,$B$4&lt;=1),100*('Scores'!I14*$B$4+'Scores'!I19*$C$4),"n.a.")</x:f>
        <x:v>77.08333333333334</x:v>
      </x:c>
      <x:c r="G19" s="21" t="n">
        <x:f>IF(COUNT(D19,$D$20)=2,D19-$D$20,"n.a.")</x:f>
        <x:v>-2.0833333333333286</x:v>
      </x:c>
    </x:row>
    <x:row r="20" ht="25" customHeight="1">
      <x:c r="A20" s="22" t="str">
        <x:v>B Sonnet direct revision</x:v>
      </x:c>
      <x:c r="B20" s="23" t="n">
        <x:f>'Scores'!G15</x:f>
        <x:v>0.6666666666666666</x:v>
      </x:c>
      <x:c r="C20" s="23" t="n">
        <x:f>'Scores'!G20</x:f>
        <x:v>0.5833333333333334</x:v>
      </x:c>
      <x:c r="D20" s="24" t="n">
        <x:f>IF(AND(COUNT(B20:C20)=2,ISNUMBER($B$4),$B$4&gt;=0,$B$4&lt;=1),100*SUMPRODUCT(B20:C20,$B$4:$C$4),"n.a.")</x:f>
        <x:v>62.5</x:v>
      </x:c>
      <x:c r="E20" s="23" t="n">
        <x:f>IF(AND(COUNT(B20:C20)=2,ISNUMBER($B$4),$B$4&gt;=0,$B$4&lt;=1),'Scores'!H15*$B$4+'Scores'!H20*$C$4,"n.a.")</x:f>
        <x:v>0.8333333333333333</x:v>
      </x:c>
      <x:c r="F20" s="24" t="n">
        <x:f>IF(AND(COUNT(B20:C20)=2,ISNUMBER($B$4),$B$4&gt;=0,$B$4&lt;=1),100*('Scores'!I15*$B$4+'Scores'!I20*$C$4),"n.a.")</x:f>
        <x:v>79.16666666666666</x:v>
      </x:c>
      <x:c r="G20" s="25" t="n">
        <x:f>IF(COUNT(D20,$D$20)=2,D20-$D$20,"n.a.")</x:f>
        <x:v>0</x:v>
      </x:c>
    </x:row>
    <x:row r="21" ht="25" customHeight="1">
      <x:c r="A21" s="2" t="str">
        <x:v>C Sonnet self-review</x:v>
      </x:c>
      <x:c r="B21" s="19" t="n">
        <x:f>'Scores'!G16</x:f>
        <x:v>0.6666666666666666</x:v>
      </x:c>
      <x:c r="C21" s="19" t="n">
        <x:f>'Scores'!G21</x:f>
        <x:v>0.5833333333333334</x:v>
      </x:c>
      <x:c r="D21" s="20" t="n">
        <x:f>IF(AND(COUNT(B21:C21)=2,ISNUMBER($B$4),$B$4&gt;=0,$B$4&lt;=1),100*SUMPRODUCT(B21:C21,$B$4:$C$4),"n.a.")</x:f>
        <x:v>62.5</x:v>
      </x:c>
      <x:c r="E21" s="19" t="n">
        <x:f>IF(AND(COUNT(B21:C21)=2,ISNUMBER($B$4),$B$4&gt;=0,$B$4&lt;=1),'Scores'!H16*$B$4+'Scores'!H21*$C$4,"n.a.")</x:f>
        <x:v>0.8333333333333333</x:v>
      </x:c>
      <x:c r="F21" s="20" t="n">
        <x:f>IF(AND(COUNT(B21:C21)=2,ISNUMBER($B$4),$B$4&gt;=0,$B$4&lt;=1),100*('Scores'!I16*$B$4+'Scores'!I21*$C$4),"n.a.")</x:f>
        <x:v>79.16666666666666</x:v>
      </x:c>
      <x:c r="G21" s="21" t="n">
        <x:f>IF(COUNT(D21,$D$20)=2,D21-$D$20,"n.a.")</x:f>
        <x:v>0</x:v>
      </x:c>
    </x:row>
    <x:row r="22" ht="25" customHeight="1">
      <x:c r="A22" s="22" t="str">
        <x:v>D Cross-model review</x:v>
      </x:c>
      <x:c r="B22" s="23" t="n">
        <x:f>'Scores'!G17</x:f>
        <x:v>0.6666666666666666</x:v>
      </x:c>
      <x:c r="C22" s="23" t="n">
        <x:f>'Scores'!G22</x:f>
        <x:v>0.5833333333333334</x:v>
      </x:c>
      <x:c r="D22" s="24" t="n">
        <x:f>IF(AND(COUNT(B22:C22)=2,ISNUMBER($B$4),$B$4&gt;=0,$B$4&lt;=1),100*SUMPRODUCT(B22:C22,$B$4:$C$4),"n.a.")</x:f>
        <x:v>62.5</x:v>
      </x:c>
      <x:c r="E22" s="23" t="n">
        <x:f>IF(AND(COUNT(B22:C22)=2,ISNUMBER($B$4),$B$4&gt;=0,$B$4&lt;=1),'Scores'!H17*$B$4+'Scores'!H22*$C$4,"n.a.")</x:f>
        <x:v>0.8333333333333333</x:v>
      </x:c>
      <x:c r="F22" s="24" t="n">
        <x:f>IF(AND(COUNT(B22:C22)=2,ISNUMBER($B$4),$B$4&gt;=0,$B$4&lt;=1),100*('Scores'!I17*$B$4+'Scores'!I22*$C$4),"n.a.")</x:f>
        <x:v>79.16666666666666</x:v>
      </x:c>
      <x:c r="G22" s="25" t="n">
        <x:f>IF(COUNT(D22,$D$20)=2,D22-$D$20,"n.a.")</x:f>
        <x:v>0</x:v>
      </x:c>
    </x:row>
    <x:row r="23" ht="25" customHeight="1">
      <x:c r="A23" s="2" t="str">
        <x:v>E Terra original</x:v>
      </x:c>
      <x:c r="B23" s="19" t="n">
        <x:f>'Scores'!G18</x:f>
        <x:v>0.4583333333333333</x:v>
      </x:c>
      <x:c r="C23" s="19" t="n">
        <x:f>'Scores'!G23</x:f>
        <x:v>0.75</x:v>
      </x:c>
      <x:c r="D23" s="20" t="n">
        <x:f>IF(AND(COUNT(B23:C23)=2,ISNUMBER($B$4),$B$4&gt;=0,$B$4&lt;=1),100*SUMPRODUCT(B23:C23,$B$4:$C$4),"n.a.")</x:f>
        <x:v>60.416666666666664</x:v>
      </x:c>
      <x:c r="E23" s="19" t="n">
        <x:f>IF(AND(COUNT(B23:C23)=2,ISNUMBER($B$4),$B$4&gt;=0,$B$4&lt;=1),'Scores'!H18*$B$4+'Scores'!H23*$C$4,"n.a.")</x:f>
        <x:v>1</x:v>
      </x:c>
      <x:c r="F23" s="20" t="n">
        <x:f>IF(AND(COUNT(B23:C23)=2,ISNUMBER($B$4),$B$4&gt;=0,$B$4&lt;=1),100*('Scores'!I18*$B$4+'Scores'!I23*$C$4),"n.a.")</x:f>
        <x:v>60.416666666666664</x:v>
      </x:c>
      <x:c r="G23" s="21" t="n">
        <x:f>IF(COUNT(D23,$D$20)=2,D23-$D$20,"n.a.")</x:f>
        <x:v>-2.0833333333333357</x:v>
      </x:c>
    </x:row>
    <x:row r="24" ht="25" customHeight="1">
      <x:c r="A24" s="2"/>
      <x:c r="B24" s="2"/>
      <x:c r="C24" s="2"/>
      <x:c r="D24" s="2"/>
      <x:c r="E24" s="2"/>
      <x:c r="F24" s="2"/>
      <x:c r="G24" s="2"/>
    </x:row>
    <x:row r="25" ht="25" customHeight="1">
      <x:c r="A25" s="2"/>
      <x:c r="B25" s="2"/>
      <x:c r="C25" s="2"/>
      <x:c r="D25" s="2"/>
      <x:c r="E25" s="2"/>
      <x:c r="F25" s="2"/>
      <x:c r="G25" s="2"/>
    </x:row>
    <x:row r="26" ht="25" customHeight="1">
      <x:c r="A26" s="26" t="str">
        <x:v>Composite = weighted mean of correct / planned, scaled to 100. Default: equal benchmark weights.</x:v>
      </x:c>
      <x:c r="B26" s="26"/>
      <x:c r="C26" s="26"/>
      <x:c r="D26" s="26"/>
      <x:c r="E26" s="26"/>
      <x:c r="F26" s="26"/>
      <x:c r="G26" s="26"/>
    </x:row>
    <x:row r="27" ht="25" customHeight="1">
      <x:c r="A27" s="26" t="str">
        <x:v>Coverage is the share of outcomes scored. Upper bounds assume all missing answers pass; they are not confidence intervals.</x:v>
      </x:c>
      <x:c r="B27" s="26"/>
      <x:c r="C27" s="26"/>
      <x:c r="D27" s="26"/>
      <x:c r="E27" s="26"/>
      <x:c r="F27" s="26"/>
      <x:c r="G27" s="26"/>
    </x:row>
    <x:row r="28" ht="25" customHeight="1">
      <x:c r="A28" s="26" t="str">
        <x:v>Keep protocols separate: feedback uses held-out tests; the earlier tool-free studies used full test suites and different cohorts.</x:v>
      </x:c>
      <x:c r="B28" s="26"/>
      <x:c r="C28" s="26"/>
      <x:c r="D28" s="26"/>
      <x:c r="E28" s="26"/>
      <x:c r="F28" s="26"/>
      <x:c r="G28" s="26"/>
    </x:row>
    <x:row r="29" ht="25" customHeight="1">
      <x:c r="A29" s="26" t="str">
        <x:v>External sites, calibration screens, rubric scores and archives are excluded. Cost is separate because some calls are unpriced.</x:v>
      </x:c>
      <x:c r="B29" s="26"/>
      <x:c r="C29" s="26"/>
      <x:c r="D29" s="26"/>
      <x:c r="E29" s="26"/>
      <x:c r="F29" s="26"/>
      <x:c r="G29" s="26"/>
    </x:row>
    <x:row r="30" ht="25" customHeight="1">
      <x:c r="A30" s="26" t="str">
        <x:v>Feedback arms B/C/D/F receive visible diagnostics. Comparing a revision to its original also adds another model call.</x:v>
      </x:c>
      <x:c r="B30" s="26"/>
      <x:c r="C30" s="26"/>
      <x:c r="D30" s="26"/>
      <x:c r="E30" s="26"/>
      <x:c r="F30" s="26"/>
      <x:c r="G30" s="26"/>
    </x:row>
    <x:row r="31" ht="25" customHeight="1">
      <x:c r="A31" s="2"/>
      <x:c r="B31" s="2"/>
      <x:c r="C31" s="2"/>
      <x:c r="D31" s="2"/>
      <x:c r="E31" s="2"/>
      <x:c r="F31" s="2"/>
      <x:c r="G31" s="2"/>
    </x:row>
    <x:row r="32" ht="25" customHeight="1">
      <x:c r="A32" s="2"/>
      <x:c r="B32" s="2"/>
      <x:c r="C32" s="2"/>
      <x:c r="D32" s="2"/>
      <x:c r="E32" s="2"/>
      <x:c r="F32" s="2"/>
      <x:c r="G32" s="2"/>
    </x:row>
    <x:row r="33" ht="25" customHeight="1">
      <x:c r="A33" s="2"/>
      <x:c r="B33" s="2"/>
      <x:c r="C33" s="2"/>
      <x:c r="D33" s="2"/>
      <x:c r="E33" s="2"/>
      <x:c r="F33" s="2"/>
      <x:c r="G33" s="2"/>
    </x:row>
    <x:row r="34" ht="25" customHeight="1">
      <x:c r="A34" s="2"/>
      <x:c r="B34" s="2"/>
      <x:c r="C34" s="2"/>
      <x:c r="D34" s="2"/>
      <x:c r="E34" s="2"/>
      <x:c r="F34" s="2"/>
      <x:c r="G34" s="2"/>
    </x:row>
    <x:row r="35" ht="25" customHeight="1">
      <x:c r="A35" s="2"/>
      <x:c r="B35" s="2"/>
      <x:c r="C35" s="2"/>
      <x:c r="D35" s="2"/>
      <x:c r="E35" s="2"/>
      <x:c r="F35" s="2"/>
      <x:c r="G35" s="2"/>
    </x:row>
    <x:row r="36" ht="25" customHeight="1">
      <x:c r="A36" s="2"/>
      <x:c r="B36" s="2"/>
      <x:c r="C36" s="2"/>
      <x:c r="D36" s="2"/>
      <x:c r="E36" s="2"/>
      <x:c r="F36" s="2"/>
      <x:c r="G36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.5" hidden="0" customWidth="1"/>
    <x:col min="2" max="2" width="11.880000114440918" hidden="0" customWidth="1"/>
    <x:col min="3" max="3" width="41.25" hidden="0" customWidth="1"/>
    <x:col min="4" max="4" width="9.380000114440918" hidden="0" customWidth="1"/>
    <x:col min="5" max="5" width="9.380000114440918" hidden="0" customWidth="1"/>
    <x:col min="6" max="6" width="9.380000114440918" hidden="0" customWidth="1"/>
    <x:col min="7" max="7" width="15" hidden="0" customWidth="1"/>
    <x:col min="8" max="8" width="12.5" hidden="0" customWidth="1"/>
    <x:col min="9" max="9" width="13.75" hidden="0" customWidth="1"/>
    <x:col min="10" max="10" width="53.75" hidden="0" customWidth="1"/>
    <x:col min="11" max="11" width="15.630000114440918" hidden="0" customWidth="1"/>
  </x:cols>
  <x:sheetData>
    <x:row r="1" ht="36" customHeight="1">
      <x:c r="A1" s="7" t="str">
        <x:v>Protocol</x:v>
      </x:c>
      <x:c r="B1" s="7" t="str">
        <x:v>Benchmark</x:v>
      </x:c>
      <x:c r="C1" s="7" t="str">
        <x:v>Workflow</x:v>
      </x:c>
      <x:c r="D1" s="7" t="str">
        <x:v>Correct</x:v>
      </x:c>
      <x:c r="E1" s="7" t="str">
        <x:v>Planned</x:v>
      </x:c>
      <x:c r="F1" s="7" t="str">
        <x:v>Missing</x:v>
      </x:c>
      <x:c r="G1" s="7" t="str">
        <x:v>Delivered correct</x:v>
      </x:c>
      <x:c r="H1" s="7" t="str">
        <x:v>Coverage</x:v>
      </x:c>
      <x:c r="I1" s="7" t="str">
        <x:v>Upper bound</x:v>
      </x:c>
      <x:c r="J1" s="7" t="str">
        <x:v>Source URL</x:v>
      </x:c>
      <x:c r="K1" s="7" t="str">
        <x:v>Comparable input</x:v>
      </x:c>
    </x:row>
    <x:row r="2" ht="42" customHeight="1">
      <x:c r="A2" s="2" t="str">
        <x:v>feedback</x:v>
      </x:c>
      <x:c r="B2" s="2" t="str">
        <x:v>bcb</x:v>
      </x:c>
      <x:c r="C2" s="10" t="str">
        <x:v>A Sonnet original</x:v>
      </x:c>
      <x:c r="D2" s="8" t="n">
        <x:v>6</x:v>
      </x:c>
      <x:c r="E2" s="8" t="n">
        <x:v>12</x:v>
      </x:c>
      <x:c r="F2" s="8" t="n">
        <x:v>0</x:v>
      </x:c>
      <x:c r="G2" s="9" t="n">
        <x:f>IF(K2,D2/E2,"n.a.")</x:f>
        <x:v>0.5</x:v>
      </x:c>
      <x:c r="H2" s="9" t="n">
        <x:f>IF(K2,(E2-F2)/E2,"n.a.")</x:f>
        <x:v>1</x:v>
      </x:c>
      <x:c r="I2" s="9" t="n">
        <x:f>IF(K2,(D2+F2)/E2,"n.a.")</x:f>
        <x:v>0.5</x:v>
      </x:c>
      <x:c r="J2" s="2" t="str">
        <x:v>https://alanshurafa.github.io/co-evolution/feedback-bcb.html</x:v>
      </x:c>
      <x:c r="K2" s="3" t="b">
        <x:v>1</x:v>
      </x:c>
    </x:row>
    <x:row r="3" ht="42" customHeight="1">
      <x:c r="A3" s="2" t="str">
        <x:v>feedback</x:v>
      </x:c>
      <x:c r="B3" s="2" t="str">
        <x:v>bcb</x:v>
      </x:c>
      <x:c r="C3" s="10" t="str">
        <x:v>B Sonnet feedback revision</x:v>
      </x:c>
      <x:c r="D3" s="8" t="n">
        <x:v>7</x:v>
      </x:c>
      <x:c r="E3" s="8" t="n">
        <x:v>12</x:v>
      </x:c>
      <x:c r="F3" s="8" t="n">
        <x:v>0</x:v>
      </x:c>
      <x:c r="G3" s="9" t="n">
        <x:f>IF(K3,D3/E3,"n.a.")</x:f>
        <x:v>0.5833333333333334</x:v>
      </x:c>
      <x:c r="H3" s="9" t="n">
        <x:f>IF(K3,(E3-F3)/E3,"n.a.")</x:f>
        <x:v>1</x:v>
      </x:c>
      <x:c r="I3" s="9" t="n">
        <x:f>IF(K3,(D3+F3)/E3,"n.a.")</x:f>
        <x:v>0.5833333333333334</x:v>
      </x:c>
      <x:c r="J3" s="2" t="str">
        <x:v>https://alanshurafa.github.io/co-evolution/feedback-bcb.html</x:v>
      </x:c>
      <x:c r="K3" s="3" t="b">
        <x:v>1</x:v>
      </x:c>
    </x:row>
    <x:row r="4" ht="42" customHeight="1">
      <x:c r="A4" s="2" t="str">
        <x:v>feedback</x:v>
      </x:c>
      <x:c r="B4" s="2" t="str">
        <x:v>bcb</x:v>
      </x:c>
      <x:c r="C4" s="10" t="str">
        <x:v>C Sonnet self-review with feedback</x:v>
      </x:c>
      <x:c r="D4" s="8" t="n">
        <x:v>6</x:v>
      </x:c>
      <x:c r="E4" s="8" t="n">
        <x:v>12</x:v>
      </x:c>
      <x:c r="F4" s="8" t="n">
        <x:v>0</x:v>
      </x:c>
      <x:c r="G4" s="9" t="n">
        <x:f>IF(K4,D4/E4,"n.a.")</x:f>
        <x:v>0.5</x:v>
      </x:c>
      <x:c r="H4" s="9" t="n">
        <x:f>IF(K4,(E4-F4)/E4,"n.a.")</x:f>
        <x:v>1</x:v>
      </x:c>
      <x:c r="I4" s="9" t="n">
        <x:f>IF(K4,(D4+F4)/E4,"n.a.")</x:f>
        <x:v>0.5</x:v>
      </x:c>
      <x:c r="J4" s="2" t="str">
        <x:v>https://alanshurafa.github.io/co-evolution/feedback-bcb.html</x:v>
      </x:c>
      <x:c r="K4" s="3" t="b">
        <x:v>1</x:v>
      </x:c>
    </x:row>
    <x:row r="5" ht="42" customHeight="1">
      <x:c r="A5" s="2" t="str">
        <x:v>feedback</x:v>
      </x:c>
      <x:c r="B5" s="2" t="str">
        <x:v>bcb</x:v>
      </x:c>
      <x:c r="C5" s="10" t="str">
        <x:v>D Terra critique + Sonnet revision with feedback</x:v>
      </x:c>
      <x:c r="D5" s="8" t="n">
        <x:v>6</x:v>
      </x:c>
      <x:c r="E5" s="8" t="n">
        <x:v>12</x:v>
      </x:c>
      <x:c r="F5" s="8" t="n">
        <x:v>0</x:v>
      </x:c>
      <x:c r="G5" s="9" t="n">
        <x:f>IF(K5,D5/E5,"n.a.")</x:f>
        <x:v>0.5</x:v>
      </x:c>
      <x:c r="H5" s="9" t="n">
        <x:f>IF(K5,(E5-F5)/E5,"n.a.")</x:f>
        <x:v>1</x:v>
      </x:c>
      <x:c r="I5" s="9" t="n">
        <x:f>IF(K5,(D5+F5)/E5,"n.a.")</x:f>
        <x:v>0.5</x:v>
      </x:c>
      <x:c r="J5" s="2" t="str">
        <x:v>https://alanshurafa.github.io/co-evolution/feedback-bcb.html</x:v>
      </x:c>
      <x:c r="K5" s="3" t="b">
        <x:v>1</x:v>
      </x:c>
    </x:row>
    <x:row r="6" ht="42" customHeight="1">
      <x:c r="A6" s="2" t="str">
        <x:v>feedback</x:v>
      </x:c>
      <x:c r="B6" s="2" t="str">
        <x:v>bcb</x:v>
      </x:c>
      <x:c r="C6" s="10" t="str">
        <x:v>E Terra alone</x:v>
      </x:c>
      <x:c r="D6" s="8" t="n">
        <x:v>6</x:v>
      </x:c>
      <x:c r="E6" s="8" t="n">
        <x:v>12</x:v>
      </x:c>
      <x:c r="F6" s="8" t="n">
        <x:v>0</x:v>
      </x:c>
      <x:c r="G6" s="9" t="n">
        <x:f>IF(K6,D6/E6,"n.a.")</x:f>
        <x:v>0.5</x:v>
      </x:c>
      <x:c r="H6" s="9" t="n">
        <x:f>IF(K6,(E6-F6)/E6,"n.a.")</x:f>
        <x:v>1</x:v>
      </x:c>
      <x:c r="I6" s="9" t="n">
        <x:f>IF(K6,(D6+F6)/E6,"n.a.")</x:f>
        <x:v>0.5</x:v>
      </x:c>
      <x:c r="J6" s="2" t="str">
        <x:v>https://alanshurafa.github.io/co-evolution/feedback-bcb.html</x:v>
      </x:c>
      <x:c r="K6" s="3" t="b">
        <x:v>1</x:v>
      </x:c>
    </x:row>
    <x:row r="7" ht="42" customHeight="1">
      <x:c r="A7" s="2" t="str">
        <x:v>feedback</x:v>
      </x:c>
      <x:c r="B7" s="2" t="str">
        <x:v>bcb</x:v>
      </x:c>
      <x:c r="C7" s="10" t="str">
        <x:v>F Terra feedback revision</x:v>
      </x:c>
      <x:c r="D7" s="8" t="n">
        <x:v>7</x:v>
      </x:c>
      <x:c r="E7" s="8" t="n">
        <x:v>12</x:v>
      </x:c>
      <x:c r="F7" s="8" t="n">
        <x:v>0</x:v>
      </x:c>
      <x:c r="G7" s="9" t="n">
        <x:f>IF(K7,D7/E7,"n.a.")</x:f>
        <x:v>0.5833333333333334</x:v>
      </x:c>
      <x:c r="H7" s="9" t="n">
        <x:f>IF(K7,(E7-F7)/E7,"n.a.")</x:f>
        <x:v>1</x:v>
      </x:c>
      <x:c r="I7" s="9" t="n">
        <x:f>IF(K7,(D7+F7)/E7,"n.a.")</x:f>
        <x:v>0.5833333333333334</x:v>
      </x:c>
      <x:c r="J7" s="2" t="str">
        <x:v>https://alanshurafa.github.io/co-evolution/feedback-bcb.html</x:v>
      </x:c>
      <x:c r="K7" s="3" t="b">
        <x:v>1</x:v>
      </x:c>
    </x:row>
    <x:row r="8" ht="42" customHeight="1">
      <x:c r="A8" s="2" t="str">
        <x:v>feedback</x:v>
      </x:c>
      <x:c r="B8" s="2" t="str">
        <x:v>lcb</x:v>
      </x:c>
      <x:c r="C8" s="10" t="str">
        <x:v>A Sonnet original</x:v>
      </x:c>
      <x:c r="D8" s="8" t="n">
        <x:v>2</x:v>
      </x:c>
      <x:c r="E8" s="8" t="n">
        <x:v>8</x:v>
      </x:c>
      <x:c r="F8" s="8" t="n">
        <x:v>3</x:v>
      </x:c>
      <x:c r="G8" s="9" t="n">
        <x:f>IF(K8,D8/E8,"n.a.")</x:f>
        <x:v>0.25</x:v>
      </x:c>
      <x:c r="H8" s="9" t="n">
        <x:f>IF(K8,(E8-F8)/E8,"n.a.")</x:f>
        <x:v>0.625</x:v>
      </x:c>
      <x:c r="I8" s="9" t="n">
        <x:f>IF(K8,(D8+F8)/E8,"n.a.")</x:f>
        <x:v>0.625</x:v>
      </x:c>
      <x:c r="J8" s="2" t="str">
        <x:v>https://alanshurafa.github.io/co-evolution/feedback-lcb.html</x:v>
      </x:c>
      <x:c r="K8" s="3" t="b">
        <x:v>1</x:v>
      </x:c>
    </x:row>
    <x:row r="9" ht="42" customHeight="1">
      <x:c r="A9" s="2" t="str">
        <x:v>feedback</x:v>
      </x:c>
      <x:c r="B9" s="2" t="str">
        <x:v>lcb</x:v>
      </x:c>
      <x:c r="C9" s="10" t="str">
        <x:v>B Sonnet feedback revision</x:v>
      </x:c>
      <x:c r="D9" s="8" t="n">
        <x:v>3</x:v>
      </x:c>
      <x:c r="E9" s="8" t="n">
        <x:v>8</x:v>
      </x:c>
      <x:c r="F9" s="8" t="n">
        <x:v>4</x:v>
      </x:c>
      <x:c r="G9" s="9" t="n">
        <x:f>IF(K9,D9/E9,"n.a.")</x:f>
        <x:v>0.375</x:v>
      </x:c>
      <x:c r="H9" s="9" t="n">
        <x:f>IF(K9,(E9-F9)/E9,"n.a.")</x:f>
        <x:v>0.5</x:v>
      </x:c>
      <x:c r="I9" s="9" t="n">
        <x:f>IF(K9,(D9+F9)/E9,"n.a.")</x:f>
        <x:v>0.875</x:v>
      </x:c>
      <x:c r="J9" s="2" t="str">
        <x:v>https://alanshurafa.github.io/co-evolution/feedback-lcb.html</x:v>
      </x:c>
      <x:c r="K9" s="3" t="b">
        <x:v>1</x:v>
      </x:c>
    </x:row>
    <x:row r="10" ht="42" customHeight="1">
      <x:c r="A10" s="2" t="str">
        <x:v>feedback</x:v>
      </x:c>
      <x:c r="B10" s="2" t="str">
        <x:v>lcb</x:v>
      </x:c>
      <x:c r="C10" s="10" t="str">
        <x:v>C Sonnet self-review with feedback</x:v>
      </x:c>
      <x:c r="D10" s="8" t="n">
        <x:v>3</x:v>
      </x:c>
      <x:c r="E10" s="8" t="n">
        <x:v>8</x:v>
      </x:c>
      <x:c r="F10" s="8" t="n">
        <x:v>3</x:v>
      </x:c>
      <x:c r="G10" s="9" t="n">
        <x:f>IF(K10,D10/E10,"n.a.")</x:f>
        <x:v>0.375</x:v>
      </x:c>
      <x:c r="H10" s="9" t="n">
        <x:f>IF(K10,(E10-F10)/E10,"n.a.")</x:f>
        <x:v>0.625</x:v>
      </x:c>
      <x:c r="I10" s="9" t="n">
        <x:f>IF(K10,(D10+F10)/E10,"n.a.")</x:f>
        <x:v>0.75</x:v>
      </x:c>
      <x:c r="J10" s="2" t="str">
        <x:v>https://alanshurafa.github.io/co-evolution/feedback-lcb.html</x:v>
      </x:c>
      <x:c r="K10" s="3" t="b">
        <x:v>1</x:v>
      </x:c>
    </x:row>
    <x:row r="11" ht="42" customHeight="1">
      <x:c r="A11" s="2" t="str">
        <x:v>feedback</x:v>
      </x:c>
      <x:c r="B11" s="2" t="str">
        <x:v>lcb</x:v>
      </x:c>
      <x:c r="C11" s="10" t="str">
        <x:v>D Terra critique + Sonnet revision with feedback</x:v>
      </x:c>
      <x:c r="D11" s="8" t="n">
        <x:v>3</x:v>
      </x:c>
      <x:c r="E11" s="8" t="n">
        <x:v>8</x:v>
      </x:c>
      <x:c r="F11" s="8" t="n">
        <x:v>3</x:v>
      </x:c>
      <x:c r="G11" s="9" t="n">
        <x:f>IF(K11,D11/E11,"n.a.")</x:f>
        <x:v>0.375</x:v>
      </x:c>
      <x:c r="H11" s="9" t="n">
        <x:f>IF(K11,(E11-F11)/E11,"n.a.")</x:f>
        <x:v>0.625</x:v>
      </x:c>
      <x:c r="I11" s="9" t="n">
        <x:f>IF(K11,(D11+F11)/E11,"n.a.")</x:f>
        <x:v>0.75</x:v>
      </x:c>
      <x:c r="J11" s="2" t="str">
        <x:v>https://alanshurafa.github.io/co-evolution/feedback-lcb.html</x:v>
      </x:c>
      <x:c r="K11" s="3" t="b">
        <x:v>1</x:v>
      </x:c>
    </x:row>
    <x:row r="12" ht="42" customHeight="1">
      <x:c r="A12" s="2" t="str">
        <x:v>feedback</x:v>
      </x:c>
      <x:c r="B12" s="2" t="str">
        <x:v>lcb</x:v>
      </x:c>
      <x:c r="C12" s="10" t="str">
        <x:v>E Terra alone</x:v>
      </x:c>
      <x:c r="D12" s="8" t="n">
        <x:v>5</x:v>
      </x:c>
      <x:c r="E12" s="8" t="n">
        <x:v>8</x:v>
      </x:c>
      <x:c r="F12" s="8" t="n">
        <x:v>0</x:v>
      </x:c>
      <x:c r="G12" s="9" t="n">
        <x:f>IF(K12,D12/E12,"n.a.")</x:f>
        <x:v>0.625</x:v>
      </x:c>
      <x:c r="H12" s="9" t="n">
        <x:f>IF(K12,(E12-F12)/E12,"n.a.")</x:f>
        <x:v>1</x:v>
      </x:c>
      <x:c r="I12" s="9" t="n">
        <x:f>IF(K12,(D12+F12)/E12,"n.a.")</x:f>
        <x:v>0.625</x:v>
      </x:c>
      <x:c r="J12" s="2" t="str">
        <x:v>https://alanshurafa.github.io/co-evolution/feedback-lcb.html</x:v>
      </x:c>
      <x:c r="K12" s="3" t="b">
        <x:v>1</x:v>
      </x:c>
    </x:row>
    <x:row r="13" ht="42" customHeight="1">
      <x:c r="A13" s="2" t="str">
        <x:v>feedback</x:v>
      </x:c>
      <x:c r="B13" s="2" t="str">
        <x:v>lcb</x:v>
      </x:c>
      <x:c r="C13" s="10" t="str">
        <x:v>F Terra feedback revision</x:v>
      </x:c>
      <x:c r="D13" s="8" t="n">
        <x:v>5</x:v>
      </x:c>
      <x:c r="E13" s="8" t="n">
        <x:v>8</x:v>
      </x:c>
      <x:c r="F13" s="8" t="n">
        <x:v>0</x:v>
      </x:c>
      <x:c r="G13" s="9" t="n">
        <x:f>IF(K13,D13/E13,"n.a.")</x:f>
        <x:v>0.625</x:v>
      </x:c>
      <x:c r="H13" s="9" t="n">
        <x:f>IF(K13,(E13-F13)/E13,"n.a.")</x:f>
        <x:v>1</x:v>
      </x:c>
      <x:c r="I13" s="9" t="n">
        <x:f>IF(K13,(D13+F13)/E13,"n.a.")</x:f>
        <x:v>0.625</x:v>
      </x:c>
      <x:c r="J13" s="2" t="str">
        <x:v>https://alanshurafa.github.io/co-evolution/feedback-lcb.html</x:v>
      </x:c>
      <x:c r="K13" s="3" t="b">
        <x:v>1</x:v>
      </x:c>
    </x:row>
    <x:row r="14" ht="42" customHeight="1">
      <x:c r="A14" s="2" t="str">
        <x:v>fixed</x:v>
      </x:c>
      <x:c r="B14" s="2" t="str">
        <x:v>bcb</x:v>
      </x:c>
      <x:c r="C14" s="10" t="str">
        <x:v>A Sonnet original</x:v>
      </x:c>
      <x:c r="D14" s="8" t="n">
        <x:v>17</x:v>
      </x:c>
      <x:c r="E14" s="8" t="n">
        <x:v>24</x:v>
      </x:c>
      <x:c r="F14" s="8" t="n">
        <x:v>0</x:v>
      </x:c>
      <x:c r="G14" s="9" t="n">
        <x:f>IF(K14,D14/E14,"n.a.")</x:f>
        <x:v>0.7083333333333334</x:v>
      </x:c>
      <x:c r="H14" s="9" t="n">
        <x:f>IF(K14,(E14-F14)/E14,"n.a.")</x:f>
        <x:v>1</x:v>
      </x:c>
      <x:c r="I14" s="9" t="n">
        <x:f>IF(K14,(D14+F14)/E14,"n.a.")</x:f>
        <x:v>0.7083333333333334</x:v>
      </x:c>
      <x:c r="J14" s="2" t="str">
        <x:v>https://alanshurafa.github.io/co-evolution/fixed-bcb.html</x:v>
      </x:c>
      <x:c r="K14" s="3" t="b">
        <x:v>1</x:v>
      </x:c>
    </x:row>
    <x:row r="15" ht="42" customHeight="1">
      <x:c r="A15" s="2" t="str">
        <x:v>fixed</x:v>
      </x:c>
      <x:c r="B15" s="2" t="str">
        <x:v>bcb</x:v>
      </x:c>
      <x:c r="C15" s="10" t="str">
        <x:v>B Sonnet plain revision</x:v>
      </x:c>
      <x:c r="D15" s="8" t="n">
        <x:v>16</x:v>
      </x:c>
      <x:c r="E15" s="8" t="n">
        <x:v>24</x:v>
      </x:c>
      <x:c r="F15" s="8" t="n">
        <x:v>0</x:v>
      </x:c>
      <x:c r="G15" s="9" t="n">
        <x:f>IF(K15,D15/E15,"n.a.")</x:f>
        <x:v>0.6666666666666666</x:v>
      </x:c>
      <x:c r="H15" s="9" t="n">
        <x:f>IF(K15,(E15-F15)/E15,"n.a.")</x:f>
        <x:v>1</x:v>
      </x:c>
      <x:c r="I15" s="9" t="n">
        <x:f>IF(K15,(D15+F15)/E15,"n.a.")</x:f>
        <x:v>0.6666666666666666</x:v>
      </x:c>
      <x:c r="J15" s="2" t="str">
        <x:v>https://alanshurafa.github.io/co-evolution/fixed-bcb.html</x:v>
      </x:c>
      <x:c r="K15" s="3" t="b">
        <x:v>1</x:v>
      </x:c>
    </x:row>
    <x:row r="16" ht="42" customHeight="1">
      <x:c r="A16" s="2" t="str">
        <x:v>fixed</x:v>
      </x:c>
      <x:c r="B16" s="2" t="str">
        <x:v>bcb</x:v>
      </x:c>
      <x:c r="C16" s="10" t="str">
        <x:v>C Sonnet self-review</x:v>
      </x:c>
      <x:c r="D16" s="8" t="n">
        <x:v>16</x:v>
      </x:c>
      <x:c r="E16" s="8" t="n">
        <x:v>24</x:v>
      </x:c>
      <x:c r="F16" s="8" t="n">
        <x:v>0</x:v>
      </x:c>
      <x:c r="G16" s="9" t="n">
        <x:f>IF(K16,D16/E16,"n.a.")</x:f>
        <x:v>0.6666666666666666</x:v>
      </x:c>
      <x:c r="H16" s="9" t="n">
        <x:f>IF(K16,(E16-F16)/E16,"n.a.")</x:f>
        <x:v>1</x:v>
      </x:c>
      <x:c r="I16" s="9" t="n">
        <x:f>IF(K16,(D16+F16)/E16,"n.a.")</x:f>
        <x:v>0.6666666666666666</x:v>
      </x:c>
      <x:c r="J16" s="2" t="str">
        <x:v>https://alanshurafa.github.io/co-evolution/fixed-bcb.html</x:v>
      </x:c>
      <x:c r="K16" s="3" t="b">
        <x:v>1</x:v>
      </x:c>
    </x:row>
    <x:row r="17" ht="42" customHeight="1">
      <x:c r="A17" s="2" t="str">
        <x:v>fixed</x:v>
      </x:c>
      <x:c r="B17" s="2" t="str">
        <x:v>bcb</x:v>
      </x:c>
      <x:c r="C17" s="10" t="str">
        <x:v>D Terra critique + Sonnet revision</x:v>
      </x:c>
      <x:c r="D17" s="8" t="n">
        <x:v>16</x:v>
      </x:c>
      <x:c r="E17" s="8" t="n">
        <x:v>24</x:v>
      </x:c>
      <x:c r="F17" s="8" t="n">
        <x:v>0</x:v>
      </x:c>
      <x:c r="G17" s="9" t="n">
        <x:f>IF(K17,D17/E17,"n.a.")</x:f>
        <x:v>0.6666666666666666</x:v>
      </x:c>
      <x:c r="H17" s="9" t="n">
        <x:f>IF(K17,(E17-F17)/E17,"n.a.")</x:f>
        <x:v>1</x:v>
      </x:c>
      <x:c r="I17" s="9" t="n">
        <x:f>IF(K17,(D17+F17)/E17,"n.a.")</x:f>
        <x:v>0.6666666666666666</x:v>
      </x:c>
      <x:c r="J17" s="2" t="str">
        <x:v>https://alanshurafa.github.io/co-evolution/fixed-bcb.html</x:v>
      </x:c>
      <x:c r="K17" s="3" t="b">
        <x:v>1</x:v>
      </x:c>
    </x:row>
    <x:row r="18" ht="42" customHeight="1">
      <x:c r="A18" s="2" t="str">
        <x:v>fixed</x:v>
      </x:c>
      <x:c r="B18" s="2" t="str">
        <x:v>bcb</x:v>
      </x:c>
      <x:c r="C18" s="10" t="str">
        <x:v>E Terra alone</x:v>
      </x:c>
      <x:c r="D18" s="8" t="n">
        <x:v>11</x:v>
      </x:c>
      <x:c r="E18" s="8" t="n">
        <x:v>24</x:v>
      </x:c>
      <x:c r="F18" s="8" t="n">
        <x:v>0</x:v>
      </x:c>
      <x:c r="G18" s="9" t="n">
        <x:f>IF(K18,D18/E18,"n.a.")</x:f>
        <x:v>0.4583333333333333</x:v>
      </x:c>
      <x:c r="H18" s="9" t="n">
        <x:f>IF(K18,(E18-F18)/E18,"n.a.")</x:f>
        <x:v>1</x:v>
      </x:c>
      <x:c r="I18" s="9" t="n">
        <x:f>IF(K18,(D18+F18)/E18,"n.a.")</x:f>
        <x:v>0.4583333333333333</x:v>
      </x:c>
      <x:c r="J18" s="2" t="str">
        <x:v>https://alanshurafa.github.io/co-evolution/fixed-bcb.html</x:v>
      </x:c>
      <x:c r="K18" s="3" t="b">
        <x:v>1</x:v>
      </x:c>
    </x:row>
    <x:row r="19" ht="42" customHeight="1">
      <x:c r="A19" s="2" t="str">
        <x:v>fixed</x:v>
      </x:c>
      <x:c r="B19" s="2" t="str">
        <x:v>lcb</x:v>
      </x:c>
      <x:c r="C19" s="10" t="str">
        <x:v>A Sonnet original</x:v>
      </x:c>
      <x:c r="D19" s="8" t="n">
        <x:v>6</x:v>
      </x:c>
      <x:c r="E19" s="8" t="n">
        <x:v>12</x:v>
      </x:c>
      <x:c r="F19" s="8" t="n">
        <x:v>4</x:v>
      </x:c>
      <x:c r="G19" s="9" t="n">
        <x:f>IF(K19,D19/E19,"n.a.")</x:f>
        <x:v>0.5</x:v>
      </x:c>
      <x:c r="H19" s="9" t="n">
        <x:f>IF(K19,(E19-F19)/E19,"n.a.")</x:f>
        <x:v>0.6666666666666666</x:v>
      </x:c>
      <x:c r="I19" s="9" t="n">
        <x:f>IF(K19,(D19+F19)/E19,"n.a.")</x:f>
        <x:v>0.8333333333333334</x:v>
      </x:c>
      <x:c r="J19" s="2" t="str">
        <x:v>https://alanshurafa.github.io/co-evolution/fixed-lcb.html</x:v>
      </x:c>
      <x:c r="K19" s="3" t="b">
        <x:v>1</x:v>
      </x:c>
    </x:row>
    <x:row r="20" ht="42" customHeight="1">
      <x:c r="A20" s="2" t="str">
        <x:v>fixed</x:v>
      </x:c>
      <x:c r="B20" s="2" t="str">
        <x:v>lcb</x:v>
      </x:c>
      <x:c r="C20" s="10" t="str">
        <x:v>B Sonnet plain revision</x:v>
      </x:c>
      <x:c r="D20" s="8" t="n">
        <x:v>7</x:v>
      </x:c>
      <x:c r="E20" s="8" t="n">
        <x:v>12</x:v>
      </x:c>
      <x:c r="F20" s="8" t="n">
        <x:v>4</x:v>
      </x:c>
      <x:c r="G20" s="9" t="n">
        <x:f>IF(K20,D20/E20,"n.a.")</x:f>
        <x:v>0.5833333333333334</x:v>
      </x:c>
      <x:c r="H20" s="9" t="n">
        <x:f>IF(K20,(E20-F20)/E20,"n.a.")</x:f>
        <x:v>0.6666666666666666</x:v>
      </x:c>
      <x:c r="I20" s="9" t="n">
        <x:f>IF(K20,(D20+F20)/E20,"n.a.")</x:f>
        <x:v>0.9166666666666666</x:v>
      </x:c>
      <x:c r="J20" s="2" t="str">
        <x:v>https://alanshurafa.github.io/co-evolution/fixed-lcb.html</x:v>
      </x:c>
      <x:c r="K20" s="3" t="b">
        <x:v>1</x:v>
      </x:c>
    </x:row>
    <x:row r="21" ht="42" customHeight="1">
      <x:c r="A21" s="2" t="str">
        <x:v>fixed</x:v>
      </x:c>
      <x:c r="B21" s="2" t="str">
        <x:v>lcb</x:v>
      </x:c>
      <x:c r="C21" s="10" t="str">
        <x:v>C Sonnet self-review</x:v>
      </x:c>
      <x:c r="D21" s="8" t="n">
        <x:v>7</x:v>
      </x:c>
      <x:c r="E21" s="8" t="n">
        <x:v>12</x:v>
      </x:c>
      <x:c r="F21" s="8" t="n">
        <x:v>4</x:v>
      </x:c>
      <x:c r="G21" s="9" t="n">
        <x:f>IF(K21,D21/E21,"n.a.")</x:f>
        <x:v>0.5833333333333334</x:v>
      </x:c>
      <x:c r="H21" s="9" t="n">
        <x:f>IF(K21,(E21-F21)/E21,"n.a.")</x:f>
        <x:v>0.6666666666666666</x:v>
      </x:c>
      <x:c r="I21" s="9" t="n">
        <x:f>IF(K21,(D21+F21)/E21,"n.a.")</x:f>
        <x:v>0.9166666666666666</x:v>
      </x:c>
      <x:c r="J21" s="2" t="str">
        <x:v>https://alanshurafa.github.io/co-evolution/fixed-lcb.html</x:v>
      </x:c>
      <x:c r="K21" s="3" t="b">
        <x:v>1</x:v>
      </x:c>
    </x:row>
    <x:row r="22" ht="42" customHeight="1">
      <x:c r="A22" s="2" t="str">
        <x:v>fixed</x:v>
      </x:c>
      <x:c r="B22" s="2" t="str">
        <x:v>lcb</x:v>
      </x:c>
      <x:c r="C22" s="10" t="str">
        <x:v>D Terra critique + Sonnet revision</x:v>
      </x:c>
      <x:c r="D22" s="8" t="n">
        <x:v>7</x:v>
      </x:c>
      <x:c r="E22" s="8" t="n">
        <x:v>12</x:v>
      </x:c>
      <x:c r="F22" s="8" t="n">
        <x:v>4</x:v>
      </x:c>
      <x:c r="G22" s="9" t="n">
        <x:f>IF(K22,D22/E22,"n.a.")</x:f>
        <x:v>0.5833333333333334</x:v>
      </x:c>
      <x:c r="H22" s="9" t="n">
        <x:f>IF(K22,(E22-F22)/E22,"n.a.")</x:f>
        <x:v>0.6666666666666666</x:v>
      </x:c>
      <x:c r="I22" s="9" t="n">
        <x:f>IF(K22,(D22+F22)/E22,"n.a.")</x:f>
        <x:v>0.9166666666666666</x:v>
      </x:c>
      <x:c r="J22" s="2" t="str">
        <x:v>https://alanshurafa.github.io/co-evolution/fixed-lcb.html</x:v>
      </x:c>
      <x:c r="K22" s="3" t="b">
        <x:v>1</x:v>
      </x:c>
    </x:row>
    <x:row r="23" ht="42" customHeight="1">
      <x:c r="A23" s="2" t="str">
        <x:v>fixed</x:v>
      </x:c>
      <x:c r="B23" s="2" t="str">
        <x:v>lcb</x:v>
      </x:c>
      <x:c r="C23" s="10" t="str">
        <x:v>E Terra alone</x:v>
      </x:c>
      <x:c r="D23" s="8" t="n">
        <x:v>9</x:v>
      </x:c>
      <x:c r="E23" s="8" t="n">
        <x:v>12</x:v>
      </x:c>
      <x:c r="F23" s="8" t="n">
        <x:v>0</x:v>
      </x:c>
      <x:c r="G23" s="9" t="n">
        <x:f>IF(K23,D23/E23,"n.a.")</x:f>
        <x:v>0.75</x:v>
      </x:c>
      <x:c r="H23" s="9" t="n">
        <x:f>IF(K23,(E23-F23)/E23,"n.a.")</x:f>
        <x:v>1</x:v>
      </x:c>
      <x:c r="I23" s="9" t="n">
        <x:f>IF(K23,(D23+F23)/E23,"n.a.")</x:f>
        <x:v>0.75</x:v>
      </x:c>
      <x:c r="J23" s="2" t="str">
        <x:v>https://alanshurafa.github.io/co-evolution/fixed-lcb.html</x:v>
      </x:c>
      <x:c r="K23" s="3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.75" hidden="0" customWidth="1"/>
    <x:col min="2" max="2" width="18.1299991607666" hidden="0" customWidth="1"/>
    <x:col min="3" max="3" width="30.6299991607666" hidden="0" customWidth="1"/>
    <x:col min="4" max="4" width="35" hidden="0" customWidth="1"/>
    <x:col min="5" max="5" width="15" hidden="0" customWidth="1"/>
    <x:col min="6" max="6" width="51.25" hidden="0" customWidth="1"/>
    <x:col min="7" max="7" width="55" hidden="0" customWidth="1"/>
    <x:col min="8" max="8" width="58.7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11" t="str">
        <x:v>Website comparison and evidence sources</x:v>
      </x:c>
      <x:c r="B2" s="11"/>
      <x:c r="C2" s="11"/>
      <x:c r="D2" s="11"/>
      <x:c r="E2" s="11"/>
      <x:c r="F2" s="11"/>
      <x:c r="G2" s="11"/>
      <x:c r="H2" s="11"/>
    </x:row>
    <x:row r="3" ht="25" customHeight="1">
      <x:c r="A3" s="2"/>
      <x:c r="B3" s="2"/>
      <x:c r="C3" s="2"/>
      <x:c r="D3" s="2"/>
      <x:c r="E3" s="2"/>
      <x:c r="F3" s="2"/>
      <x:c r="G3" s="2"/>
      <x:c r="H3" s="2"/>
    </x:row>
    <x:row r="4" ht="36" customHeight="1">
      <x:c r="A4" s="7" t="str">
        <x:v>Website</x:v>
      </x:c>
      <x:c r="B4" s="7" t="str">
        <x:v>Category</x:v>
      </x:c>
      <x:c r="C4" s="7" t="str">
        <x:v>Scoring</x:v>
      </x:c>
      <x:c r="D4" s="7" t="str">
        <x:v>Coverage / scope</x:v>
      </x:c>
      <x:c r="E4" s="7" t="str">
        <x:v>Composite group</x:v>
      </x:c>
      <x:c r="F4" s="7" t="str">
        <x:v>Result or use</x:v>
      </x:c>
      <x:c r="G4" s="7" t="str">
        <x:v>Website URL</x:v>
      </x:c>
      <x:c r="H4" s="7" t="str">
        <x:v>Evidence / methodology URL</x:v>
      </x:c>
    </x:row>
    <x:row r="5" ht="52" customHeight="1">
      <x:c r="A5" s="10" t="str">
        <x:v>BigCodeBench-Hard test-feedback comparison</x:v>
      </x:c>
      <x:c r="B5" s="10" t="str">
        <x:v>Our result page</x:v>
      </x:c>
      <x:c r="C5" s="10" t="str">
        <x:v>Held-out tests all pass (%)</x:v>
      </x:c>
      <x:c r="D5" s="10" t="str">
        <x:v>72/72 held-out outcomes scored on 12 tasks</x:v>
      </x:c>
      <x:c r="E5" s="10" t="str">
        <x:v>feedback</x:v>
      </x:c>
      <x:c r="F5" s="10" t="str">
        <x:v>A: 6/12 planned, 0 missing; B: 7/12 planned, 0 missing; C: 6/12 planned, 0 missing; D: 6/12 planned, 0 missing; E: 6/12 planned, 0 missing; F: 7/12 planned, 0 missing</x:v>
      </x:c>
      <x:c r="G5" s="10" t="str">
        <x:v>https://alanshurafa.github.io/co-evolution/feedback-bcb.html</x:v>
      </x:c>
      <x:c r="H5" s="10" t="str">
        <x:v>https://alanshurafa.github.io/co-evolution/feedback-bcb-results.json</x:v>
      </x:c>
    </x:row>
    <x:row r="6" ht="52" customHeight="1">
      <x:c r="A6" s="10" t="str">
        <x:v>LiveCodeBench hard test-feedback comparison</x:v>
      </x:c>
      <x:c r="B6" s="10" t="str">
        <x:v>Our result page</x:v>
      </x:c>
      <x:c r="C6" s="10" t="str">
        <x:v>Held-out tests all pass (%)</x:v>
      </x:c>
      <x:c r="D6" s="10" t="str">
        <x:v>35/48 held-out outcomes scored on 8 tasks</x:v>
      </x:c>
      <x:c r="E6" s="10" t="str">
        <x:v>feedback</x:v>
      </x:c>
      <x:c r="F6" s="10" t="str">
        <x:v>A: 2/8 planned, 3 missing; B: 3/8 planned, 4 missing; C: 3/8 planned, 3 missing; D: 3/8 planned, 3 missing; E: 5/8 planned, 0 missing; F: 5/8 planned, 0 missing</x:v>
      </x:c>
      <x:c r="G6" s="10" t="str">
        <x:v>https://alanshurafa.github.io/co-evolution/feedback-lcb.html</x:v>
      </x:c>
      <x:c r="H6" s="10" t="str">
        <x:v>https://alanshurafa.github.io/co-evolution/feedback-lcb-results.json</x:v>
      </x:c>
    </x:row>
    <x:row r="7" ht="52" customHeight="1">
      <x:c r="A7" s="10" t="str">
        <x:v>BigCodeBench-Hard fixed comparison</x:v>
      </x:c>
      <x:c r="B7" s="10" t="str">
        <x:v>Our result page</x:v>
      </x:c>
      <x:c r="C7" s="10" t="str">
        <x:v>All benchmark tests pass (%)</x:v>
      </x:c>
      <x:c r="D7" s="10" t="str">
        <x:v>120/120 main outputs scored on 24 fresh tasks</x:v>
      </x:c>
      <x:c r="E7" s="10" t="str">
        <x:v>fixed</x:v>
      </x:c>
      <x:c r="F7" s="10" t="str">
        <x:v>A: 17/24 planned, 0 missing; B: 16/24 planned, 0 missing; C: 16/24 planned, 0 missing; D: 16/24 planned, 0 missing; E: 11/24 planned, 0 missing</x:v>
      </x:c>
      <x:c r="G7" s="10" t="str">
        <x:v>https://alanshurafa.github.io/co-evolution/fixed-bcb.html</x:v>
      </x:c>
      <x:c r="H7" s="10" t="str">
        <x:v>https://alanshurafa.github.io/co-evolution/fixed-bcb-results.json</x:v>
      </x:c>
    </x:row>
    <x:row r="8" ht="52" customHeight="1">
      <x:c r="A8" s="10" t="str">
        <x:v>LiveCodeBench hard fixed comparison</x:v>
      </x:c>
      <x:c r="B8" s="10" t="str">
        <x:v>Our result page</x:v>
      </x:c>
      <x:c r="C8" s="10" t="str">
        <x:v>All benchmark tests pass (%)</x:v>
      </x:c>
      <x:c r="D8" s="10" t="str">
        <x:v>44/60 main outputs scored on 12 fresh tasks</x:v>
      </x:c>
      <x:c r="E8" s="10" t="str">
        <x:v>fixed</x:v>
      </x:c>
      <x:c r="F8" s="10" t="str">
        <x:v>A: 6/12 planned, 4 missing; B: 7/12 planned, 4 missing; C: 7/12 planned, 4 missing; D: 7/12 planned, 4 missing; E: 9/12 planned, 0 missing</x:v>
      </x:c>
      <x:c r="G8" s="10" t="str">
        <x:v>https://alanshurafa.github.io/co-evolution/fixed-lcb.html</x:v>
      </x:c>
      <x:c r="H8" s="10" t="str">
        <x:v>https://alanshurafa.github.io/co-evolution/fixed-lcb-results.json</x:v>
      </x:c>
    </x:row>
    <x:row r="9" ht="52" customHeight="1">
      <x:c r="A9" s="10" t="str">
        <x:v>LiveCodeBench hard</x:v>
      </x:c>
      <x:c r="B9" s="10" t="str">
        <x:v>Our result page</x:v>
      </x:c>
      <x:c r="C9" s="10" t="str">
        <x:v>All benchmark tests pass (%)</x:v>
      </x:c>
      <x:c r="D9" s="10" t="str">
        <x:v>16/24 calibration; 0/120 main outputs scored</x:v>
      </x:c>
      <x:c r="E9" s="10" t="str">
        <x:v>Excluded</x:v>
      </x:c>
      <x:c r="F9" s="10" t="str">
        <x:v>A: 4/8 planned, 4 missing; B: 4/8 planned, 4 missing; E: 6/8 planned, 0 missing</x:v>
      </x:c>
      <x:c r="G9" s="10" t="str">
        <x:v>https://alanshurafa.github.io/co-evolution/compact-lcb.html</x:v>
      </x:c>
      <x:c r="H9" s="10" t="str">
        <x:v>https://alanshurafa.github.io/co-evolution/compact-lcb-results.json</x:v>
      </x:c>
    </x:row>
    <x:row r="10" ht="52" customHeight="1">
      <x:c r="A10" s="10" t="str">
        <x:v>BigCodeBench-Hard</x:v>
      </x:c>
      <x:c r="B10" s="10" t="str">
        <x:v>Our result page</x:v>
      </x:c>
      <x:c r="C10" s="10" t="str">
        <x:v>All benchmark tests pass (%)</x:v>
      </x:c>
      <x:c r="D10" s="10" t="str">
        <x:v>24/24 calibration; 0/120 main outputs scored</x:v>
      </x:c>
      <x:c r="E10" s="10" t="str">
        <x:v>Excluded</x:v>
      </x:c>
      <x:c r="F10" s="10" t="str">
        <x:v>A: 7/8 planned, 0 missing; B: 7/8 planned, 0 missing; E: 6/8 planned, 0 missing</x:v>
      </x:c>
      <x:c r="G10" s="10" t="str">
        <x:v>https://alanshurafa.github.io/co-evolution/compact-bcb.html</x:v>
      </x:c>
      <x:c r="H10" s="10" t="str">
        <x:v>https://alanshurafa.github.io/co-evolution/compact-bcb-results.json</x:v>
      </x:c>
    </x:row>
    <x:row r="11" ht="52" customHeight="1">
      <x:c r="A11" s="10" t="str">
        <x:v>Reasoning Gym constraint tasks</x:v>
      </x:c>
      <x:c r="B11" s="10" t="str">
        <x:v>Our result page</x:v>
      </x:c>
      <x:c r="C11" s="10" t="str">
        <x:v>All constraints satisfied (%)</x:v>
      </x:c>
      <x:c r="D11" s="10" t="str">
        <x:v>18/24 calibration; 0/120 main outputs scored</x:v>
      </x:c>
      <x:c r="E11" s="10" t="str">
        <x:v>Excluded</x:v>
      </x:c>
      <x:c r="F11" s="10" t="str">
        <x:v>A: 5/8 planned, 3 missing; B: 5/8 planned, 3 missing; E: 7/8 planned, 0 missing</x:v>
      </x:c>
      <x:c r="G11" s="10" t="str">
        <x:v>https://alanshurafa.github.io/co-evolution/compact-gym.html</x:v>
      </x:c>
      <x:c r="H11" s="10" t="str">
        <x:v>https://alanshurafa.github.io/co-evolution/compact-gym-results.json</x:v>
      </x:c>
    </x:row>
    <x:row r="12" ht="52" customHeight="1">
      <x:c r="A12" s="10" t="str">
        <x:v>AIME 2024: plain revision reaches the ceiling</x:v>
      </x:c>
      <x:c r="B12" s="10" t="str">
        <x:v>Our result page</x:v>
      </x:c>
      <x:c r="C12" s="10" t="str">
        <x:v>Exact integer-answer accuracy (%)</x:v>
      </x:c>
      <x:c r="D12" s="10" t="str">
        <x:v>18/18 calibration answers; six questions; no review arms</x:v>
      </x:c>
      <x:c r="E12" s="10" t="str">
        <x:v>Excluded</x:v>
      </x:c>
      <x:c r="F12" s="10" t="str">
        <x:v>A: 5/6; B: 6/6; E: 6/6</x:v>
      </x:c>
      <x:c r="G12" s="10" t="str">
        <x:v>https://alanshurafa.github.io/co-evolution/aime-calibration.html</x:v>
      </x:c>
      <x:c r="H12" s="10" t="str">
        <x:v>https://alanshurafa.github.io/co-evolution/aime-calibration-results.json</x:v>
      </x:c>
    </x:row>
    <x:row r="13" ht="52" customHeight="1">
      <x:c r="A13" s="10" t="str">
        <x:v>BBEH: exact-answer and runtime suitability screen</x:v>
      </x:c>
      <x:c r="B13" s="10" t="str">
        <x:v>Our result page</x:v>
      </x:c>
      <x:c r="C13" s="10" t="str">
        <x:v>Official answer-match accuracy (%)</x:v>
      </x:c>
      <x:c r="D13" s="10" t="str">
        <x:v>22/36 calibration answers received; main comparison absent</x:v>
      </x:c>
      <x:c r="E13" s="10" t="str">
        <x:v>Excluded</x:v>
      </x:c>
      <x:c r="F13" s="10" t="str">
        <x:v>A: 4/12 planned, 7 missing; B: 3/12 planned, 7 missing; E: 7/12 planned, 0 missing</x:v>
      </x:c>
      <x:c r="G13" s="10" t="str">
        <x:v>https://alanshurafa.github.io/co-evolution/bbeh-format-calibration.html</x:v>
      </x:c>
      <x:c r="H13" s="10" t="str">
        <x:v>https://alanshurafa.github.io/co-evolution/bbeh-format-calibration-results.json</x:v>
      </x:c>
    </x:row>
    <x:row r="14" ht="52" customHeight="1">
      <x:c r="A14" s="10" t="str">
        <x:v>BBEH: harder questions, an unsuccessful suitability screen</x:v>
      </x:c>
      <x:c r="B14" s="10" t="str">
        <x:v>Our result page</x:v>
      </x:c>
      <x:c r="C14" s="10" t="str">
        <x:v>Official answer-match accuracy (%)</x:v>
      </x:c>
      <x:c r="D14" s="10" t="str">
        <x:v>22/36 calibration answers received; main comparison not run</x:v>
      </x:c>
      <x:c r="E14" s="10" t="str">
        <x:v>Excluded</x:v>
      </x:c>
      <x:c r="F14" s="10" t="str">
        <x:v>A: 1/12 planned, 7 missing; B: 1/12 planned, 7 missing; E: 3/12 planned, 0 missing</x:v>
      </x:c>
      <x:c r="G14" s="10" t="str">
        <x:v>https://alanshurafa.github.io/co-evolution/bbeh.html</x:v>
      </x:c>
      <x:c r="H14" s="10" t="str">
        <x:v>https://alanshurafa.github.io/co-evolution/bbeh-results.json</x:v>
      </x:c>
    </x:row>
    <x:row r="15" ht="52" customHeight="1">
      <x:c r="A15" s="10" t="str">
        <x:v>PlanBench Hard: Sonnet/Terra workflows and practical impact</x:v>
      </x:c>
      <x:c r="B15" s="10" t="str">
        <x:v>Our result page</x:v>
      </x:c>
      <x:c r="C15" s="10" t="str">
        <x:v>Symbolic plans reaching goal (%)</x:v>
      </x:c>
      <x:c r="D15" s="10" t="str">
        <x:v>200/200 scored plans; smoke tasks excluded</x:v>
      </x:c>
      <x:c r="E15" s="10" t="str">
        <x:v>Excluded</x:v>
      </x:c>
      <x:c r="F15" s="10" t="str">
        <x:v>A: 48/50 evaluated, 0 missing; B: 50/50 evaluated, 0 missing; C: 50/50 evaluated, 0 missing; D: 50/50 evaluated, 0 missing</x:v>
      </x:c>
      <x:c r="G15" s="10" t="str">
        <x:v>https://alanshurafa.github.io/co-evolution/planbench-sonnet-terra.html</x:v>
      </x:c>
      <x:c r="H15" s="10" t="str">
        <x:v>https://alanshurafa.github.io/co-evolution/planbench-sonnet-terra-results.json</x:v>
      </x:c>
    </x:row>
    <x:row r="16" ht="52" customHeight="1">
      <x:c r="A16" s="10" t="str">
        <x:v>PlanBench Hard: scored workflows and practical impact</x:v>
      </x:c>
      <x:c r="B16" s="10" t="str">
        <x:v>Our result page</x:v>
      </x:c>
      <x:c r="C16" s="10" t="str">
        <x:v>Symbolic plans reaching goal (%)</x:v>
      </x:c>
      <x:c r="D16" s="10" t="str">
        <x:v>195/200 scored plans; smoke tasks excluded</x:v>
      </x:c>
      <x:c r="E16" s="10" t="str">
        <x:v>Excluded</x:v>
      </x:c>
      <x:c r="F16" s="10" t="str">
        <x:v>A: 50/50 evaluated, 0 missing; B: 50/50 evaluated, 0 missing; C: 50/50 evaluated, 0 missing; D: 45/45 evaluated, 5 missing</x:v>
      </x:c>
      <x:c r="G16" s="10" t="str">
        <x:v>https://alanshurafa.github.io/co-evolution/planbench.html</x:v>
      </x:c>
      <x:c r="H16" s="10" t="str">
        <x:v>https://alanshurafa.github.io/co-evolution/planbench-results.json</x:v>
      </x:c>
    </x:row>
    <x:row r="17" ht="52" customHeight="1">
      <x:c r="A17" s="10" t="str">
        <x:v>Custom planning: promising average scores, judge-dependent conclusions</x:v>
      </x:c>
      <x:c r="B17" s="10" t="str">
        <x:v>Our result page</x:v>
      </x:c>
      <x:c r="C17" s="10" t="str">
        <x:v>Mean rubric points, by AI judge</x:v>
      </x:c>
      <x:c r="D17" s="10" t="str">
        <x:v>194/198 plans; Astra 194 and Fable 187 judgments</x:v>
      </x:c>
      <x:c r="E17" s="10" t="str">
        <x:v>Excluded</x:v>
      </x:c>
      <x:c r="F17" s="10" t="str">
        <x:v>Exploratory rubric gains; material disagreement between judges. No executed-task accuracy or productivity measurement.</x:v>
      </x:c>
      <x:c r="G17" s="10" t="str">
        <x:v>https://alanshurafa.github.io/co-evolution/planning.html</x:v>
      </x:c>
      <x:c r="H17" s="10" t="str">
        <x:v>https://alanshurafa.github.io/co-evolution/planning-results.json</x:v>
      </x:c>
    </x:row>
    <x:row r="18" ht="52" customHeight="1">
      <x:c r="A18" s="10" t="str">
        <x:v>SWE-bench: observed workflow gains with important comparison limits</x:v>
      </x:c>
      <x:c r="B18" s="10" t="str">
        <x:v>Our result page</x:v>
      </x:c>
      <x:c r="C18" s="10" t="str">
        <x:v>SWE-bench issues resolved (%)</x:v>
      </x:c>
      <x:c r="D18" s="10" t="str">
        <x:v>50-task subset; current and interim rows have separate denominators</x:v>
      </x:c>
      <x:c r="E18" s="10" t="str">
        <x:v>Excluded</x:v>
      </x:c>
      <x:c r="F18" s="10" t="str">
        <x:v>Completed light cohort: A: 39/50, B: 42/50, E: 33/50. Other cohorts and tools differ.</x:v>
      </x:c>
      <x:c r="G18" s="10" t="str">
        <x:v>https://alanshurafa.github.io/co-evolution/index.html</x:v>
      </x:c>
      <x:c r="H18" s="10" t="str">
        <x:v>https://alanshurafa.github.io/co-evolution/current-results.json</x:v>
      </x:c>
    </x:row>
    <x:row r="19" ht="52" customHeight="1">
      <x:c r="A19" s="10" t="str">
        <x:v>SWE-bench</x:v>
      </x:c>
      <x:c r="B19" s="10" t="str">
        <x:v>External reference</x:v>
      </x:c>
      <x:c r="C19" s="10" t="str">
        <x:v>Percentage of repository issues resolved</x:v>
      </x:c>
      <x:c r="D19" s="10" t="str">
        <x:v>Verified, Lite, Full and other variants</x:v>
      </x:c>
      <x:c r="E19" s="10" t="str">
        <x:v>Excluded</x:v>
      </x:c>
      <x:c r="F19" s="10" t="str">
        <x:v>Repository-level outcomes; model and agent environment both matter.</x:v>
      </x:c>
      <x:c r="G19" s="10" t="str">
        <x:v>https://www.swebench.com/</x:v>
      </x:c>
      <x:c r="H19" s="10" t="str">
        <x:v>https://www.swebench.com/</x:v>
      </x:c>
    </x:row>
    <x:row r="20" ht="52" customHeight="1">
      <x:c r="A20" s="10" t="str">
        <x:v>LiveCodeBench</x:v>
      </x:c>
      <x:c r="B20" s="10" t="str">
        <x:v>External reference</x:v>
      </x:c>
      <x:c r="C20" s="10" t="str">
        <x:v>Pass@1 on executable programming tests</x:v>
      </x:c>
      <x:c r="D20" s="10" t="str">
        <x:v>Versioned contest problems and capability scenarios</x:v>
      </x:c>
      <x:c r="E20" s="10" t="str">
        <x:v>Excluded</x:v>
      </x:c>
      <x:c r="F20" s="10" t="str">
        <x:v>Compare within the same release, difficulty and execution protocol.</x:v>
      </x:c>
      <x:c r="G20" s="10" t="str">
        <x:v>https://livecodebench.github.io/</x:v>
      </x:c>
      <x:c r="H20" s="10" t="str">
        <x:v>https://github.com/LiveCodeBench/LiveCodeBench</x:v>
      </x:c>
    </x:row>
    <x:row r="21" ht="52" customHeight="1">
      <x:c r="A21" s="10" t="str">
        <x:v>BigCodeBench</x:v>
      </x:c>
      <x:c r="B21" s="10" t="str">
        <x:v>External reference</x:v>
      </x:c>
      <x:c r="C21" s="10" t="str">
        <x:v>Calibrated pass@1</x:v>
      </x:c>
      <x:c r="D21" s="10" t="str">
        <x:v>Hard/Full and Complete/Instruct variants</x:v>
      </x:c>
      <x:c r="E21" s="10" t="str">
        <x:v>Excluded</x:v>
      </x:c>
      <x:c r="F21" s="10" t="str">
        <x:v>Practical library programming; variants must remain separate.</x:v>
      </x:c>
      <x:c r="G21" s="10" t="str">
        <x:v>https://bigcode-bench.github.io/</x:v>
      </x:c>
      <x:c r="H21" s="10" t="str">
        <x:v>https://bigcode-bench.github.io/</x:v>
      </x:c>
    </x:row>
    <x:row r="22" ht="52" customHeight="1">
      <x:c r="A22" s="10" t="str">
        <x:v>LiveBench</x:v>
      </x:c>
      <x:c r="B22" s="10" t="str">
        <x:v>External reference</x:v>
      </x:c>
      <x:c r="C22" s="10" t="str">
        <x:v>Objective scoring across benchmark categories</x:v>
      </x:c>
      <x:c r="D22" s="10" t="str">
        <x:v>Versioned multi-category model evaluation</x:v>
      </x:c>
      <x:c r="E22" s="10" t="str">
        <x:v>Excluded</x:v>
      </x:c>
      <x:c r="F22" s="10" t="str">
        <x:v>Reference for broad evaluation; not a matching Co-Evolution workflow trial.</x:v>
      </x:c>
      <x:c r="G22" s="10" t="str">
        <x:v>https://livebench.ai/</x:v>
      </x:c>
      <x:c r="H22" s="10" t="str">
        <x:v>https://github.com/LiveBench/LiveBench</x:v>
      </x:c>
    </x:row>
    <x:row r="23" ht="52" customHeight="1">
      <x:c r="A23" s="10" t="str">
        <x:v>Reasoning Gym</x:v>
      </x:c>
      <x:c r="B23" s="10" t="str">
        <x:v>External reference</x:v>
      </x:c>
      <x:c r="C23" s="10" t="str">
        <x:v>Task-specific algorithmic rewards</x:v>
      </x:c>
      <x:c r="D23" s="10" t="str">
        <x:v>Procedural tasks with configurable seeds and difficulty</x:v>
      </x:c>
      <x:c r="E23" s="10" t="str">
        <x:v>Excluded</x:v>
      </x:c>
      <x:c r="F23" s="10" t="str">
        <x:v>Fresh task generation; reward scales require task-specific interpretation.</x:v>
      </x:c>
      <x:c r="G23" s="10" t="str">
        <x:v>https://github.com/open-thought/reasoning-gym</x:v>
      </x:c>
      <x:c r="H23" s="10" t="str">
        <x:v>https://github.com/open-thought/reasoning-gym</x:v>
      </x:c>
    </x:row>
    <x:row r="24" ht="52" customHeight="1">
      <x:c r="A24" s="10" t="str">
        <x:v>EvalPlus</x:v>
      </x:c>
      <x:c r="B24" s="10" t="str">
        <x:v>External reference</x:v>
      </x:c>
      <x:c r="C24" s="10" t="str">
        <x:v>Functional pass rates; efficiency is a separate evaluation</x:v>
      </x:c>
      <x:c r="D24" s="10" t="str">
        <x:v>HumanEval+, MBPP+, EvalPerf and RepoQA</x:v>
      </x:c>
      <x:c r="E24" s="10" t="str">
        <x:v>Excluded</x:v>
      </x:c>
      <x:c r="F24" s="10" t="str">
        <x:v>Reference for stronger tests and distinct efficiency measurements.</x:v>
      </x:c>
      <x:c r="G24" s="10" t="str">
        <x:v>https://evalplus.github.io/</x:v>
      </x:c>
      <x:c r="H24" s="10" t="str">
        <x:v>https://evalplus.github.io/</x:v>
      </x:c>
    </x:row>
    <x:row r="25" ht="52" customHeight="1">
      <x:c r="A25" s="10" t="str">
        <x:v>Earlier coding-site edition</x:v>
      </x:c>
      <x:c r="B25" s="10" t="str">
        <x:v>Archive</x:v>
      </x:c>
      <x:c r="C25" s="10" t="str">
        <x:v>Historical evidence; not a new replication</x:v>
      </x:c>
      <x:c r="D25" s="10" t="str">
        <x:v>See preserved source</x:v>
      </x:c>
      <x:c r="E25" s="10" t="str">
        <x:v>Excluded</x:v>
      </x:c>
      <x:c r="F25" s="10" t="str">
        <x:v>Retained for history; excluded to avoid duplicate counting.</x:v>
      </x:c>
      <x:c r="G25" s="10" t="str">
        <x:v>https://alanshurafa.github.io/co-evolution/archive/2026-09-04-code-battery/index.html</x:v>
      </x:c>
      <x:c r="H25" s="10" t="str">
        <x:v>https://alanshurafa.github.io/co-evolution/archive/2026-09-04-code-battery/index.html</x:v>
      </x:c>
    </x:row>
    <x:row r="26" ht="52" customHeight="1">
      <x:c r="A26" s="10" t="str">
        <x:v>Archived frontier coding results</x:v>
      </x:c>
      <x:c r="B26" s="10" t="str">
        <x:v>Archive</x:v>
      </x:c>
      <x:c r="C26" s="10" t="str">
        <x:v>Historical evidence; not a new replication</x:v>
      </x:c>
      <x:c r="D26" s="10" t="str">
        <x:v>See preserved source</x:v>
      </x:c>
      <x:c r="E26" s="10" t="str">
        <x:v>Excluded</x:v>
      </x:c>
      <x:c r="F26" s="10" t="str">
        <x:v>Retained for history; excluded to avoid duplicate counting.</x:v>
      </x:c>
      <x:c r="G26" s="10" t="str">
        <x:v>https://alanshurafa.github.io/co-evolution/frontier.html</x:v>
      </x:c>
      <x:c r="H26" s="10" t="str">
        <x:v>https://alanshurafa.github.io/co-evolution/frontier.html</x:v>
      </x:c>
    </x:row>
    <x:row r="27" ht="52" customHeight="1">
      <x:c r="A27" s="10" t="str">
        <x:v>One-task proof of concept</x:v>
      </x:c>
      <x:c r="B27" s="10" t="str">
        <x:v>Archive</x:v>
      </x:c>
      <x:c r="C27" s="10" t="str">
        <x:v>Historical evidence; not a new replication</x:v>
      </x:c>
      <x:c r="D27" s="10" t="str">
        <x:v>See preserved source</x:v>
      </x:c>
      <x:c r="E27" s="10" t="str">
        <x:v>Excluded</x:v>
      </x:c>
      <x:c r="F27" s="10" t="str">
        <x:v>Retained for history; excluded to avoid duplicate counting.</x:v>
      </x:c>
      <x:c r="G27" s="10" t="str">
        <x:v>https://alanshurafa.github.io/co-evolution/poc.html</x:v>
      </x:c>
      <x:c r="H27" s="10" t="str">
        <x:v>https://alanshurafa.github.io/co-evolution/poc.html</x:v>
      </x:c>
    </x:row>
  </x:sheetData>
  <x:pageMargins left="0.7" right="0.7" top="0.75" bottom="0.75" header="0.3" footer="0.3"/>
</x:worksheet>
</file>